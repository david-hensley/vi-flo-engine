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GitLab\PARIO\DEV\Densiometer\Resources\"/>
    </mc:Choice>
  </mc:AlternateContent>
  <xr:revisionPtr revIDLastSave="0" documentId="13_ncr:1_{B1C71935-72DE-49B0-A37B-B8DBC8600D3E}" xr6:coauthVersionLast="47" xr6:coauthVersionMax="47" xr10:uidLastSave="{00000000-0000-0000-0000-000000000000}"/>
  <x:bookViews>
    <x:workbookView xWindow="3510" yWindow="3900" windowWidth="24060" windowHeight="12735" firstSheet="0" activeTab="0" xr2:uid="{00000000-000D-0000-FFFF-FFFF00000000}"/>
  </x:bookViews>
  <x:sheets>
    <x:sheet name="Mass of soil" sheetId="8" r:id="rId1"/>
    <x:sheet name="Mass of dispersant" sheetId="6" r:id="rId2"/>
    <x:sheet name="Dry Mass in effluent" sheetId="2" r:id="rId3"/>
    <x:sheet name="Sieve Data" sheetId="3" r:id="rId4"/>
    <x:sheet name="Konfig" sheetId="9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6" i="8"/>
  <x:c r="B8" i="8"/>
  <x:c r="B9" i="8"/>
  <x:c r="B16" i="8"/>
  <x:c r="B17" i="8"/>
  <x:c r="B18" i="8"/>
  <x:c r="B19" i="8"/>
  <x:c r="B1" i="6"/>
  <x:c r="B5" i="6"/>
  <x:c r="B9" i="6"/>
  <x:c r="B1" i="2"/>
  <x:c r="B9" i="2"/>
  <x:c r="A2" i="3"/>
  <x:c r="G2" i="3"/>
  <x:c r="H2" i="3"/>
  <x:c r="I2" i="3"/>
  <x:c r="J2" i="3"/>
  <x:c r="D3" i="3"/>
  <x:c r="G3" i="3"/>
  <x:c r="H3" i="3"/>
  <x:c r="I3" i="3"/>
  <x:c r="J3" i="3"/>
  <x:c r="D4" i="3"/>
  <x:c r="G4" i="3"/>
  <x:c r="H4" i="3"/>
  <x:c r="I4" i="3"/>
  <x:c r="J4" i="3"/>
  <x:c r="D5" i="3"/>
  <x:c r="G5" i="3"/>
  <x:c r="H5" i="3"/>
  <x:c r="I5" i="3"/>
  <x:c r="J5" i="3"/>
  <x:c r="D6" i="3"/>
  <x:c r="G6" i="3"/>
  <x:c r="H6" i="3"/>
  <x:c r="I6" i="3"/>
  <x:c r="J6" i="3"/>
  <x:c r="D7" i="3"/>
  <x:c r="G7" i="3"/>
  <x:c r="H7" i="3"/>
  <x:c r="I7" i="3"/>
  <x:c r="J7" i="3"/>
  <x:c r="D8" i="3"/>
  <x:c r="G8" i="3"/>
  <x:c r="H8" i="3"/>
  <x:c r="I8" i="3"/>
  <x:c r="J8" i="3"/>
  <x:c r="D9" i="3"/>
  <x:c r="G9" i="3"/>
  <x:c r="H9" i="3"/>
  <x:c r="I9" i="3"/>
  <x:c r="J9" i="3"/>
  <x:c r="D10" i="3"/>
  <x:c r="G10" i="3"/>
  <x:c r="H10" i="3"/>
  <x:c r="I10" i="3"/>
  <x:c r="J10" i="3"/>
  <x:c r="D11" i="3"/>
  <x:c r="G11" i="3"/>
  <x:c r="H11" i="3"/>
  <x:c r="I11" i="3"/>
  <x:c r="J11" i="3"/>
  <x:c r="D12" i="3"/>
  <x:c r="G12" i="3"/>
  <x:c r="H12" i="3"/>
  <x:c r="I12" i="3"/>
  <x:c r="J12" i="3"/>
</x:calcChain>
</file>

<file path=xl/sharedStrings.xml><?xml version="1.0" encoding="utf-8"?>
<x:sst xmlns:x="http://schemas.openxmlformats.org/spreadsheetml/2006/main" count="61" uniqueCount="61">
  <x:si>
    <x:t>Sample ID</x:t>
  </x:si>
  <x:si>
    <x:t>SR1-HS-10cm</x:t>
  </x:si>
  <x:si>
    <x:t>Determination of residual water in the sample mass</x:t>
  </x:si>
  <x:si>
    <x:t>g</x:t>
  </x:si>
  <x:si>
    <x:t xml:space="preserve">Total mass (soil  incl. residual water + OM + Tare) 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</x:si>
  <x:si>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</x:si>
  <x:si>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 xml:space="preserve">Total mass after drying @ 105 °C 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</x:si>
  <x:si>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</x:si>
  <x:si>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 xml:space="preserve">Mass loss by drying </x:t>
  </x:si>
  <x:si>
    <x:t xml:space="preserve">Tare mass </x:t>
  </x:si>
  <x:si>
    <x:r>
      <x:rPr>
        <x:vertAlign val="baseline"/>
        <x:sz val="11"/>
        <x:color theme="1"/>
        <x:rFont val="Calibri"/>
        <x:family val="2"/>
      </x:rPr>
      <x:t>*Please enter the value with</x:t>
    </x:r>
    <x:r>
      <x:rPr>
        <x:b/>
        <x:vertAlign val="baseline"/>
        <x:sz val="11"/>
        <x:color theme="4"/>
        <x:rFont val="Calibri"/>
        <x:family val="2"/>
      </x:rPr>
      <x:t xml:space="preserve"> 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</x:si>
  <x:si>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 xml:space="preserve">Dry sample mass (soil + OM) </x:t>
  </x:si>
  <x:si>
    <x:t xml:space="preserve">Gravimetric water content  </x:t>
  </x:si>
  <x:si>
    <x:r>
      <x:rPr>
        <x:vertAlign val="baseline"/>
        <x:sz val="11"/>
        <x:color theme="1"/>
        <x:rFont val="Calibri"/>
        <x:family val="2"/>
      </x:rPr>
      <x:t>g g</x:t>
    </x:r>
    <x:r>
      <x:rPr>
        <x:vertAlign val="superscript"/>
        <x:sz val="11"/>
        <x:color theme="1"/>
        <x:rFont val="Calibri"/>
        <x:family val="2"/>
      </x:rPr>
      <x:t>-1</x:t>
    </x:r>
  </x:si>
  <x:si>
    <x:t xml:space="preserve">Consideration of mass loss by removal of organic matter (OM) </x:t>
  </x:si>
  <x:si>
    <x:t xml:space="preserve">OM removal ? (Yes/ No) </x:t>
  </x:si>
  <x:si>
    <x:t>&lt;Please select&gt;</x:t>
  </x:si>
  <x:si>
    <x:t>logical</x:t>
  </x:si>
  <x:si>
    <x:t xml:space="preserve">if Yes: gravimetric OM content </x:t>
  </x:si>
  <x:si>
    <x:r>
      <x:rPr>
        <x:vertAlign val="baseline"/>
        <x:sz val="11"/>
        <x:color theme="1"/>
        <x:rFont val="Calibri"/>
        <x:family val="2"/>
      </x:rPr>
      <x:t>g g</x:t>
    </x:r>
    <x:r>
      <x:rPr>
        <x:vertAlign val="superscript"/>
        <x:sz val="11"/>
        <x:color theme="1"/>
        <x:rFont val="Calibri"/>
        <x:family val="2"/>
      </x:rPr>
      <x:t>-1</x:t>
    </x:r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</x:si>
  <x:si>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three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</x:si>
  <x:si>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Calculation of net dry mass of mineral soil used in analysis</x:t>
  </x:si>
  <x:si>
    <x:t xml:space="preserve">Total soil mass  (includes residual water and OM) </x:t>
  </x:si>
  <x:si>
    <x:t xml:space="preserve">Contained water mass </x:t>
  </x:si>
  <x:si>
    <x:t xml:space="preserve">Removed OM mass </x:t>
  </x:si>
  <x:si>
    <x:t xml:space="preserve">Net mineral soil mass used in analysis </x:t>
  </x:si>
  <x:si>
    <x:t xml:space="preserve">Concentration of dispersant solution </x:t>
  </x:si>
  <x:si>
    <x:r>
      <x:rPr>
        <x:vertAlign val="baseline"/>
        <x:sz val="11"/>
        <x:color theme="1"/>
        <x:rFont val="Calibri"/>
        <x:family val="2"/>
      </x:rPr>
      <x:t>g L</x:t>
    </x:r>
    <x:r>
      <x:rPr>
        <x:vertAlign val="superscript"/>
        <x:sz val="11"/>
        <x:color theme="1"/>
        <x:rFont val="Calibri"/>
        <x:family val="2"/>
      </x:rPr>
      <x:t>-1</x:t>
    </x:r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</x:si>
  <x:si>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</x:si>
  <x:si>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 xml:space="preserve">Crystal water contained in dispersant </x:t>
  </x:si>
  <x:si>
    <x:r>
      <x:rPr>
        <x:vertAlign val="baseline"/>
        <x:sz val="11"/>
        <x:color theme="1"/>
        <x:rFont val="Calibri"/>
        <x:family val="2"/>
      </x:rPr>
      <x:t>g g</x:t>
    </x:r>
    <x:r>
      <x:rPr>
        <x:vertAlign val="superscript"/>
        <x:sz val="11"/>
        <x:color theme="1"/>
        <x:rFont val="Calibri"/>
        <x:family val="2"/>
      </x:rPr>
      <x:t>-1</x:t>
    </x:r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</x:si>
  <x:si>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</x:si>
  <x:si>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 xml:space="preserve">Mass of dry dispersant in solution </x:t>
  </x:si>
  <x:si>
    <x:t>Volume of dispersant solution added to suspension</x:t>
  </x:si>
  <x:si>
    <x:t>mL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</x:si>
  <x:si>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</x:si>
  <x:si>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Mass of dry dispersant in suspension</x:t>
  </x:si>
  <x:si>
    <x:t xml:space="preserve">PARIO plus mode (Yes/ No) </x:t>
  </x:si>
  <x:si>
    <x:t>If PARIO plus mode, then enter two weights referring to the drained suspension:</x:t>
  </x:si>
  <x:si>
    <x:t xml:space="preserve">Total mass after drying @ 105 °C (soil  + dispersant + tare) 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</x:si>
  <x:si>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three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</x:si>
  <x:si>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tare mass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</x:si>
  <x:si>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three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</x:si>
  <x:si>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net dry mass in effluent (includes soil + dispersant)</x:t>
  </x:si>
  <x:si>
    <x:t>Particle-size class</x:t>
  </x:si>
  <x:si>
    <x:t>Min [µm]</x:t>
  </x:si>
  <x:si>
    <x:t>Max [µm]</x:t>
  </x:si>
  <x:si>
    <x:t>Gross dry mass 
[g]</x:t>
  </x:si>
  <x:si>
    <x:t>Tare mass 
[g]</x:t>
  </x:si>
  <x:si>
    <x:t>Dry soil weight 
[g]</x:t>
  </x:si>
  <x:si>
    <x:t>Dry Mass of 
Particles 
[g]</x:t>
  </x:si>
  <x:si>
    <x:r>
      <x:rPr>
        <x:b/>
        <x:vertAlign val="baseline"/>
        <x:sz val="11"/>
        <x:color rgb="FF000000"/>
        <x:rFont val="Calibri"/>
        <x:family val="2"/>
      </x:rPr>
      <x:t xml:space="preserve">Mass fraction
[g g</x:t>
    </x:r>
    <x:r>
      <x:rPr>
        <x:b/>
        <x:vertAlign val="superscript"/>
        <x:sz val="11"/>
        <x:color rgb="FF000000"/>
        <x:rFont val="Calibri"/>
        <x:family val="2"/>
      </x:rPr>
      <x:t>-1</x:t>
    </x:r>
    <x:r>
      <x:rPr>
        <x:b/>
        <x:vertAlign val="baseline"/>
        <x:sz val="11"/>
        <x:color rgb="FF000000"/>
        <x:rFont val="Calibri"/>
        <x:family val="2"/>
      </x:rPr>
      <x:t>]</x:t>
    </x:r>
  </x:si>
  <x:si>
    <x:t>Mass percent
[ % (w/w)]</x:t>
  </x:si>
  <x:si>
    <x:t>Coarse Sand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</x:si>
  <x:si>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</x:si>
  <x:si>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Middle Sand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</x:si>
  <x:si>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</x:si>
  <x:si>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Fine Sand</x:t>
  </x:si>
  <x:si>
    <x:r>
      <x:rPr>
        <x:vertAlign val="baseline"/>
        <x:sz val="11"/>
        <x:color theme="1"/>
        <x:rFont val="Calibri"/>
        <x:family val="2"/>
      </x:rPr>
      <x:t xml:space="preserve">*Please enter the value with </x:t>
    </x:r>
    <x:r>
      <x:rPr>
        <x:b/>
        <x:vertAlign val="baseline"/>
        <x:sz val="11"/>
        <x:color theme="4"/>
        <x:rFont val="Calibri"/>
        <x:family val="2"/>
      </x:rPr>
      <x:t>two</x:t>
    </x:r>
    <x:r>
      <x:rPr>
        <x:vertAlign val="baseline"/>
        <x:sz val="11"/>
        <x:color theme="1"/>
        <x:rFont val="Calibri"/>
        <x:family val="2"/>
      </x:rPr>
      <x:t xml:space="preserve"> decimal places</x:t>
    </x:r>
  </x:si>
  <x:si>
    <x:t>Yes</x:t>
  </x:si>
  <x:si>
    <x:t>No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</x:si>
</x:sst>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00"/>
    <x:numFmt numFmtId="165" formatCode="0.0%"/>
  </x:numFmts>
  <x:fonts count="11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1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vertAlign val="superscript"/>
      <x:sz val="11"/>
      <x:color theme="1"/>
      <x:name val="Calibri"/>
      <x:family val="2"/>
      <x:scheme val="minor"/>
    </x:font>
    <x:font>
      <x:b/>
      <x:vertAlign val="superscript"/>
      <x:sz val="11"/>
      <x:name val="Calibri"/>
      <x:family val="2"/>
      <x:scheme val="minor"/>
    </x:font>
    <x:font>
      <x:b/>
      <x:sz val="11"/>
      <x:color theme="4"/>
      <x:name val="Calibri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theme="2"/>
        <x:bgColor indexed="64"/>
      </x:patternFill>
    </x:fill>
    <x:fill>
      <x:patternFill patternType="solid">
        <x:fgColor rgb="FF076192"/>
        <x:bgColor indexed="64"/>
      </x:patternFill>
    </x:fill>
    <x:fill>
      <x:patternFill patternType="solid">
        <x:fgColor rgb="FF69A0BD"/>
        <x:bgColor indexed="64"/>
      </x:patternFill>
    </x:fill>
    <x:fill>
      <x:patternFill patternType="solid">
        <x:fgColor rgb="FFD5E4EC"/>
        <x:bgColor indexed="64"/>
      </x:patternFill>
    </x:fill>
  </x:fills>
  <x:borders count="17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theme="0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36">
    <x:xf numFmtId="0" fontId="0" fillId="0" borderId="0"/>
    <x:xf numFmtId="0" fontId="2" fillId="2" borderId="1" applyNumberFormat="0" applyAlignment="0" applyProtection="0"/>
    <x:xf numFmtId="9" fontId="6" fillId="0" borderId="0" applyFon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2" fontId="0" fillId="6" borderId="8" applyNumberFormat="1" applyFill="0" applyBorder="1" applyAlignment="1" applyProtection="1">
      <x:protection locked="0" hidden="0"/>
    </x:xf>
    <x:xf numFmtId="2" fontId="0" fillId="6" borderId="9" applyNumberFormat="1" applyFill="0" applyBorder="1" applyAlignment="1" applyProtection="1">
      <x:protection locked="0" hidden="0"/>
    </x:xf>
    <x:xf numFmtId="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" fontId="1" fillId="3" borderId="0" applyNumberFormat="1" applyFill="0" applyBorder="0" applyAlignment="1" applyProtection="1">
      <x:protection locked="1" hidden="0"/>
    </x:xf>
    <x:xf numFmtId="164" fontId="0" fillId="6" borderId="9" applyNumberFormat="1" applyFill="0" applyBorder="1" applyAlignment="1" applyProtection="1">
      <x:protection locked="0" hidden="0"/>
    </x:xf>
    <x:xf numFmtId="2" fontId="7" fillId="4" borderId="4" applyNumberFormat="1" applyFill="0" applyBorder="1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0" fillId="6" borderId="8" applyNumberFormat="1" applyFill="0" applyBorder="1" applyAlignment="1" applyProtection="1">
      <x:protection locked="0" hidden="0"/>
    </x:xf>
    <x:xf numFmtId="164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2" fontId="3" fillId="5" borderId="3" applyNumberFormat="1" applyFill="0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2" fontId="3" fillId="0" borderId="2" applyNumberFormat="1" applyFill="1" applyBorder="1" applyAlignment="1" applyProtection="1">
      <x:protection locked="1" hidden="0"/>
    </x:xf>
    <x:xf numFmtId="0" fontId="7" fillId="4" borderId="11" applyNumberFormat="1" applyFill="0" applyBorder="1" applyAlignment="1" applyProtection="1">
      <x:protection locked="1" hidden="0"/>
    </x:xf>
    <x:xf numFmtId="2" fontId="0" fillId="6" borderId="4" applyNumberFormat="1" applyFill="0" applyBorder="1" applyAlignment="1" applyProtection="1">
      <x:protection locked="0" hidden="0"/>
    </x:xf>
    <x:xf numFmtId="1" fontId="0" fillId="6" borderId="8" applyNumberFormat="1" applyFill="0" applyBorder="1" applyAlignment="1" applyProtection="1">
      <x:protection locked="0" hidden="0"/>
    </x:xf>
    <x:xf numFmtId="1" fontId="0" fillId="6" borderId="12" applyNumberFormat="1" applyFill="0" applyBorder="1" applyAlignment="1" applyProtection="1">
      <x:protection locked="0" hidden="0"/>
    </x:xf>
    <x:xf numFmtId="2" fontId="0" fillId="6" borderId="16" applyNumberFormat="1" applyFill="0" applyBorder="1" applyAlignment="1" applyProtection="1">
      <x:protection locked="0" hidden="0"/>
    </x:xf>
    <x:xf numFmtId="2" fontId="4" fillId="0" borderId="7" applyNumberFormat="1" applyFill="1" applyBorder="1" applyAlignment="1" applyProtection="1">
      <x:protection locked="1" hidden="0"/>
    </x:xf>
    <x:xf numFmtId="2" fontId="4" fillId="0" borderId="3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5" fontId="7" fillId="4" borderId="11" applyNumberFormat="1" applyFill="0" applyBorder="1" applyAlignment="1" applyProtection="1">
      <x:protection locked="1" hidden="0"/>
    </x:xf>
    <x:xf numFmtId="1" fontId="0" fillId="0" borderId="13" applyNumberFormat="1" applyFill="1" applyBorder="1" applyAlignment="1" applyProtection="1">
      <x:protection locked="1" hidden="0"/>
    </x:xf>
    <x:xf numFmtId="2" fontId="0" fillId="6" borderId="14" applyNumberFormat="1" applyFill="0" applyBorder="1" applyAlignment="1" applyProtection="1">
      <x:protection locked="0" hidden="0"/>
    </x:xf>
    <x:xf numFmtId="1" fontId="0" fillId="0" borderId="15" applyNumberFormat="1" applyFill="1" applyBorder="1" applyAlignment="1" applyProtection="1">
      <x:protection locked="1" hidden="0"/>
    </x:xf>
  </x:cellStyleXfs>
  <x:cellXfs count="69">
    <x:xf numFmtId="0" fontId="0" fillId="0" borderId="0" xfId="0"/>
    <x:xf numFmtId="0" fontId="0" fillId="0" borderId="0" xfId="0" applyAlignment="1">
      <x:alignment horizontal="right"/>
    </x:xf>
    <x:xf numFmtId="0" fontId="0" fillId="0" borderId="0" xfId="0" applyAlignment="1">
      <x:alignment horizontal="left" indent="1"/>
    </x:xf>
    <x:xf numFmtId="0" fontId="1" fillId="0" borderId="0" xfId="0" applyFont="1"/>
    <x:xf numFmtId="0" fontId="5" fillId="0" borderId="0" xfId="0" applyFont="1"/>
    <x:xf numFmtId="0" fontId="5" fillId="4" borderId="0" xfId="0" applyFont="1" applyFill="1" applyAlignment="1">
      <x:alignment horizontal="right"/>
    </x:xf>
    <x:xf numFmtId="0" fontId="1" fillId="3" borderId="0" xfId="0" applyFont="1" applyFill="1" applyAlignment="1">
      <x:alignment horizontal="left"/>
    </x:xf>
    <x:xf numFmtId="0" fontId="1" fillId="3" borderId="0" xfId="0" applyFont="1" applyFill="1"/>
    <x:xf numFmtId="0" fontId="1" fillId="0" borderId="0" xfId="0" applyFont="1" applyAlignment="1">
      <x:alignment horizontal="left" indent="1"/>
    </x:xf>
    <x:xf numFmtId="2" fontId="0" fillId="0" borderId="0" xfId="0" applyNumberFormat="1"/>
    <x:xf numFmtId="2" fontId="1" fillId="3" borderId="0" xfId="0" applyNumberFormat="1" applyFont="1" applyFill="1"/>
    <x:xf numFmtId="2" fontId="1" fillId="3" borderId="0" xfId="0" applyNumberFormat="1" applyFont="1" applyFill="1" applyAlignment="1">
      <x:alignment horizontal="left"/>
    </x:xf>
    <x:xf numFmtId="0" fontId="1" fillId="0" borderId="0" xfId="0" applyFont="1" applyAlignment="1">
      <x:alignment horizontal="right"/>
    </x:xf>
    <x:xf numFmtId="0" fontId="5" fillId="4" borderId="0" xfId="0" applyFont="1" applyFill="1" applyAlignment="1">
      <x:alignment horizont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2" fontId="4" fillId="0" borderId="3" xfId="1" applyNumberFormat="1" applyFont="1" applyFill="1" applyBorder="1" applyAlignment="1" applyProtection="1">
      <x:alignment horizontal="center" vertical="center"/>
    </x:xf>
    <x:xf numFmtId="2" fontId="0" fillId="6" borderId="8" xfId="0" applyNumberFormat="1" applyFill="1" applyBorder="1" applyProtection="1">
      <x:protection locked="0"/>
    </x:xf>
    <x:xf numFmtId="2" fontId="0" fillId="6" borderId="9" xfId="0" applyNumberFormat="1" applyFill="1" applyBorder="1" applyProtection="1">
      <x:protection locked="0"/>
    </x:xf>
    <x:xf numFmtId="2" fontId="0" fillId="6" borderId="8" xfId="0" applyNumberFormat="1" applyFill="1" applyBorder="1" applyAlignment="1" applyProtection="1">
      <x:alignment horizontal="right"/>
      <x:protection locked="0"/>
    </x:xf>
    <x:xf numFmtId="164" fontId="0" fillId="6" borderId="9" xfId="0" applyNumberFormat="1" applyFill="1" applyBorder="1" applyProtection="1">
      <x:protection locked="0"/>
    </x:xf>
    <x:xf numFmtId="2" fontId="7" fillId="4" borderId="4" xfId="0" applyNumberFormat="1" applyFont="1" applyFill="1" applyBorder="1"/>
    <x:xf numFmtId="0" fontId="7" fillId="4" borderId="5" xfId="0" applyFont="1" applyFill="1" applyBorder="1" applyAlignment="1">
      <x:alignment horizontal="left" indent="1"/>
    </x:xf>
    <x:xf numFmtId="0" fontId="7" fillId="4" borderId="0" xfId="0" applyFont="1" applyFill="1" applyAlignment="1">
      <x:alignment horizontal="center"/>
    </x:xf>
    <x:xf numFmtId="2" fontId="3" fillId="5" borderId="3" xfId="0" applyNumberFormat="1" applyFont="1" applyFill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7" fillId="4" borderId="11" xfId="0" applyFont="1" applyFill="1" applyBorder="1" applyAlignment="1">
      <x:alignment horizontal="center" vertical="center" wrapText="1"/>
    </x:xf>
    <x:xf numFmtId="2" fontId="0" fillId="6" borderId="4" xfId="0" applyNumberFormat="1" applyFill="1" applyBorder="1" applyAlignment="1" applyProtection="1">
      <x:alignment horizontal="center" vertical="center"/>
      <x:protection locked="0"/>
    </x:xf>
    <x:xf numFmtId="1" fontId="0" fillId="6" borderId="8" xfId="0" applyNumberFormat="1" applyFill="1" applyBorder="1" applyAlignment="1" applyProtection="1">
      <x:alignment horizontal="center" vertical="center"/>
      <x:protection locked="0"/>
    </x:xf>
    <x:xf numFmtId="1" fontId="0" fillId="6" borderId="12" xfId="0" applyNumberFormat="1" applyFill="1" applyBorder="1" applyAlignment="1" applyProtection="1">
      <x:alignment horizontal="center" vertical="center"/>
      <x:protection locked="0"/>
    </x:xf>
    <x:xf numFmtId="2" fontId="4" fillId="0" borderId="7" xfId="1" applyNumberFormat="1" applyFont="1" applyFill="1" applyBorder="1" applyAlignment="1" applyProtection="1">
      <x:alignment horizontal="center" vertical="center"/>
    </x:xf>
    <x:xf numFmtId="164" fontId="4" fillId="0" borderId="2" xfId="0" applyNumberFormat="1" applyFont="1" applyBorder="1" applyAlignment="1">
      <x:alignment horizontal="center" vertical="center"/>
    </x:xf>
    <x:xf numFmtId="165" fontId="7" fillId="4" borderId="11" xfId="2" applyNumberFormat="1" applyFont="1" applyFill="1" applyBorder="1" applyAlignment="1">
      <x:alignment horizontal="center" vertical="center"/>
    </x:xf>
    <x:xf numFmtId="2" fontId="0" fillId="6" borderId="8" xfId="0" applyNumberFormat="1" applyFill="1" applyBorder="1" applyAlignment="1" applyProtection="1">
      <x:alignment horizontal="center" vertical="center"/>
      <x:protection locked="0"/>
    </x:xf>
    <x:xf numFmtId="1" fontId="0" fillId="0" borderId="13" xfId="0" applyNumberFormat="1" applyBorder="1" applyAlignment="1">
      <x:alignment horizontal="center" vertical="center"/>
    </x:xf>
    <x:xf numFmtId="2" fontId="0" fillId="6" borderId="14" xfId="0" applyNumberFormat="1" applyFill="1" applyBorder="1" applyAlignment="1" applyProtection="1">
      <x:alignment horizontal="center" vertical="center"/>
      <x:protection locked="0"/>
    </x:xf>
    <x:xf numFmtId="1" fontId="0" fillId="0" borderId="15" xfId="0" applyNumberFormat="1" applyBorder="1" applyAlignment="1">
      <x:alignment horizontal="center" vertical="center"/>
    </x:xf>
    <x:xf numFmtId="2" fontId="0" fillId="6" borderId="16" xfId="0" applyNumberFormat="1" applyFill="1" applyBorder="1" applyAlignment="1" applyProtection="1">
      <x:alignment horizontal="center" vertical="center"/>
      <x:protection locked="0"/>
    </x:xf>
    <x:xf numFmtId="2" fontId="3" fillId="0" borderId="2" xfId="0" applyNumberFormat="1" applyFont="1" applyBorder="1" applyAlignment="1">
      <x:alignment horizontal="center" vertical="center" wrapText="1"/>
    </x:xf>
    <x:xf numFmtId="164" fontId="0" fillId="6" borderId="8" xfId="0" applyNumberFormat="1" applyFill="1" applyBorder="1" applyProtection="1">
      <x:protection locked="0"/>
    </x:xf>
    <x:xf numFmtId="164" fontId="7" fillId="4" borderId="4" xfId="0" applyNumberFormat="1" applyFont="1" applyFill="1" applyBorder="1"/>
    <x:xf numFmtId="0" fontId="1" fillId="0" borderId="0" xfId="0" applyFont="1" applyAlignment="1">
      <x:alignment horizontal="center"/>
    </x:xf>
    <x:xf numFmtId="2" fontId="0" fillId="0" borderId="0" xfId="0" applyNumberFormat="1" applyProtection="1"/>
    <x:xf numFmtId="164" fontId="0" fillId="0" borderId="0" xfId="0" applyNumberFormat="1" applyProtection="1"/>
    <x:xf numFmtId="0" fontId="5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2" fontId="0" fillId="6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2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6" borderId="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4" fontId="0" fillId="6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2" fontId="1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7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0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7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0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0" fillId="6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2" fontId="0" fillId="6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2" fontId="0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7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6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Berechnung" xfId="1" builtinId="22"/>
    <x:cellStyle name="Prozent" xfId="2" builtinId="5"/>
    <x:cellStyle name="Standard" xfId="0" builtinId="0"/>
  </x:cellStyles>
  <x:tableStyles count="0" defaultTableStyle="TableStyleMedium2" defaultPivotStyle="PivotStyleLight16"/>
  <x:colors>
    <x:mruColors>
      <x:color rgb="FF69A0BD"/>
      <x:color rgb="FFD5E4EC"/>
      <x:color rgb="FF076192"/>
      <x:color rgb="FF6699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82B8F1-76A0-4534-8ED5-33F9F20E057C}" mc:Ignorable="x14ac xr xr2 xr3">
  <x:sheetPr>
    <x:outlinePr summaryBelow="1" summaryRight="1"/>
  </x:sheetPr>
  <x:dimension ref="A1:E33"/>
  <x:sheetViews>
    <x:sheetView tabSelected="1" workbookViewId="0">
      <x:selection activeCell="B7" sqref="B7"/>
    </x:sheetView>
  </x:sheetViews>
  <x:sheetFormatPr baseColWidth="10" defaultRowHeight="15" x14ac:dyDescent="0.25"/>
  <x:cols>
    <x:col min="1" max="1" width="52.710938" style="0" customWidth="1"/>
    <x:col min="2" max="2" width="14.710938" style="0" customWidth="1"/>
    <x:col min="3" max="3" width="14.710938" style="2" customWidth="1"/>
    <x:col min="4" max="7" width="17.710938" style="0" customWidth="1"/>
  </x:cols>
  <x:sheetData>
    <x:row r="1" spans="1:7" x14ac:dyDescent="0.25">
      <x:c r="A1" s="45" t="s">
        <x:v>0</x:v>
      </x:c>
      <x:c r="B1" s="45" t="s">
        <x:v>1</x:v>
      </x:c>
    </x:row>
    <x:row r="2" spans="1:7" x14ac:dyDescent="0.25">
      <x:c r="A2" s="1" t="s"/>
      <x:c r="B2" s="1" t="s"/>
    </x:row>
    <x:row r="3" spans="1:7" s="3" customFormat="1" ht="15.75" customHeight="1" thickBot="1" x14ac:dyDescent="0.3">
      <x:c r="A3" s="46" t="s">
        <x:v>2</x:v>
      </x:c>
      <x:c r="B3" s="47" t="s"/>
      <x:c r="C3" s="8" t="s">
        <x:v>3</x:v>
      </x:c>
    </x:row>
    <x:row r="4" spans="1:7" ht="15.75" customHeight="1" thickBot="1" x14ac:dyDescent="0.3">
      <x:c r="A4" s="1" t="s">
        <x:v>4</x:v>
      </x:c>
      <x:c r="B4" s="48" t="s"/>
      <x:c r="C4" s="2" t="s">
        <x:v>3</x:v>
      </x:c>
      <x:c r="D4" s="0" t="s">
        <x:v>5</x:v>
      </x:c>
    </x:row>
    <x:row r="5" spans="1:7" ht="15.75" customHeight="1" thickBot="1" x14ac:dyDescent="0.3">
      <x:c r="A5" s="1" t="s">
        <x:v>6</x:v>
      </x:c>
      <x:c r="B5" s="49" t="s"/>
      <x:c r="C5" s="2" t="s">
        <x:v>3</x:v>
      </x:c>
      <x:c r="D5" s="0" t="s">
        <x:v>7</x:v>
      </x:c>
    </x:row>
    <x:row r="6" spans="1:7" s="3" customFormat="1" ht="15.75" customHeight="1" thickBot="1" x14ac:dyDescent="0.3">
      <x:c r="A6" s="1" t="s">
        <x:v>8</x:v>
      </x:c>
      <x:c r="B6" s="9">
        <x:f>B4-B5</x:f>
      </x:c>
      <x:c r="C6" s="2" t="s">
        <x:v>3</x:v>
      </x:c>
    </x:row>
    <x:row r="7" spans="1:7" ht="15.75" customHeight="1" thickBot="1" x14ac:dyDescent="0.3">
      <x:c r="A7" s="1" t="s">
        <x:v>9</x:v>
      </x:c>
      <x:c r="B7" s="48" t="s"/>
      <x:c r="C7" s="2" t="s">
        <x:v>3</x:v>
      </x:c>
      <x:c r="D7" s="0" t="s">
        <x:v>10</x:v>
      </x:c>
    </x:row>
    <x:row r="8" spans="1:7" x14ac:dyDescent="0.25">
      <x:c r="A8" s="1" t="s">
        <x:v>11</x:v>
      </x:c>
      <x:c r="B8" s="9">
        <x:f>B5-B7</x:f>
      </x:c>
      <x:c r="C8" s="2" t="s">
        <x:v>3</x:v>
      </x:c>
    </x:row>
    <x:row r="9" spans="1:7" ht="17.25" customHeight="1" x14ac:dyDescent="0.25">
      <x:c r="A9" s="1" t="s">
        <x:v>12</x:v>
      </x:c>
      <x:c r="B9" s="44">
        <x:f>B6/B8</x:f>
      </x:c>
      <x:c r="C9" s="2" t="s">
        <x:v>13</x:v>
      </x:c>
    </x:row>
    <x:row r="11" spans="1:7" ht="15.75" customHeight="1" thickBot="1" x14ac:dyDescent="0.3">
      <x:c r="A11" s="46" t="s">
        <x:v>14</x:v>
      </x:c>
      <x:c r="B11" s="50" t="s"/>
      <x:c r="C11" s="8" t="s"/>
    </x:row>
    <x:row r="12" spans="1:7" ht="15.75" customHeight="1" thickBot="1" x14ac:dyDescent="0.3">
      <x:c r="A12" s="1" t="s">
        <x:v>15</x:v>
      </x:c>
      <x:c r="B12" s="51" t="s">
        <x:v>16</x:v>
      </x:c>
      <x:c r="C12" s="2" t="s">
        <x:v>17</x:v>
      </x:c>
      <x:c r="D12" s="3" t="s"/>
    </x:row>
    <x:row r="13" spans="1:7" s="3" customFormat="1" ht="18" customHeight="1" thickBot="1" x14ac:dyDescent="0.3">
      <x:c r="A13" s="1" t="s">
        <x:v>18</x:v>
      </x:c>
      <x:c r="B13" s="52" t="s"/>
      <x:c r="C13" s="2" t="s">
        <x:v>19</x:v>
      </x:c>
      <x:c r="D13" s="0" t="s">
        <x:v>20</x:v>
      </x:c>
    </x:row>
    <x:row r="15" spans="1:7" x14ac:dyDescent="0.25">
      <x:c r="A15" s="46" t="s">
        <x:v>21</x:v>
      </x:c>
      <x:c r="B15" s="53" t="s"/>
      <x:c r="C15" s="8" t="s"/>
    </x:row>
    <x:row r="16" spans="1:7" x14ac:dyDescent="0.25">
      <x:c r="A16" s="1" t="s">
        <x:v>22</x:v>
      </x:c>
      <x:c r="B16" s="9">
        <x:f>B4-B7</x:f>
      </x:c>
      <x:c r="C16" s="2" t="s">
        <x:v>3</x:v>
      </x:c>
    </x:row>
    <x:row r="17" spans="1:7" s="3" customFormat="1" x14ac:dyDescent="0.25">
      <x:c r="A17" s="1" t="s">
        <x:v>23</x:v>
      </x:c>
      <x:c r="B17" s="9">
        <x:f>B6</x:f>
      </x:c>
      <x:c r="C17" s="2" t="s">
        <x:v>3</x:v>
      </x:c>
    </x:row>
    <x:row r="18" spans="1:7" s="3" customFormat="1" ht="15.75" customHeight="1" thickBot="1" x14ac:dyDescent="0.3">
      <x:c r="A18" s="1" t="s">
        <x:v>24</x:v>
      </x:c>
      <x:c r="B18" s="9">
        <x:f>IF(B12="Yes",B13*B8,0)</x:f>
      </x:c>
      <x:c r="C18" s="2" t="s">
        <x:v>3</x:v>
      </x:c>
    </x:row>
    <x:row r="19" spans="1:7" ht="15.75" customHeight="1" thickBot="1" x14ac:dyDescent="0.3">
      <x:c r="A19" s="12" t="s">
        <x:v>25</x:v>
      </x:c>
      <x:c r="B19" s="54">
        <x:f>B16-B17-B18</x:f>
      </x:c>
      <x:c r="C19" s="55" t="s">
        <x:v>3</x:v>
      </x:c>
    </x:row>
    <x:row r="20" spans="1:7" x14ac:dyDescent="0.25">
      <x:c r="C20" s="0" t="s"/>
    </x:row>
    <x:row r="21" spans="1:7" x14ac:dyDescent="0.25">
      <x:c r="C21" s="0" t="s"/>
    </x:row>
    <x:row r="22" spans="1:7" x14ac:dyDescent="0.25">
      <x:c r="C22" s="0" t="s"/>
    </x:row>
    <x:row r="23" spans="1:7" x14ac:dyDescent="0.25">
      <x:c r="C23" s="0" t="s"/>
    </x:row>
    <x:row r="33" spans="1:7" x14ac:dyDescent="0.25">
      <x:c r="E33" s="4" t="s"/>
    </x:row>
  </x:sheetData>
  <x:sheetProtection algorithmName="SHA-512" hashValue="BsGPaMhVbhhWoAmyWpRMy752xrROGKuO0sSbNsrvzCRMe7T41yKkDpVF+mKmX9oQTUv+2f05DmFnEef9oDr+hw==" saltValue="kc+wGL/+Jy17m7U1+Pp3tg==" spinCount="100000" sheet="1" selectLockedCells="1"/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6EF2A1-7640-475D-8DD3-76F7C3D9DE77}">
          <x14:formula1>
            <xm:f>Konfig!$A$1:$A$3</xm:f>
          </x14:formula1>
          <xm:sqref>B12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51584BD-2D60-4386-87AB-E83C07BA6FE7}" mc:Ignorable="x14ac xr xr2 xr3">
  <x:sheetPr>
    <x:outlinePr summaryBelow="1" summaryRight="1"/>
  </x:sheetPr>
  <x:dimension ref="A1:D9"/>
  <x:sheetViews>
    <x:sheetView workbookViewId="0">
      <x:selection activeCell="B8" sqref="B8"/>
    </x:sheetView>
  </x:sheetViews>
  <x:sheetFormatPr baseColWidth="10" defaultRowHeight="15" x14ac:dyDescent="0.25"/>
  <x:cols>
    <x:col min="1" max="1" width="52.285156" style="0" customWidth="1"/>
    <x:col min="2" max="3" width="14.710938" style="0" customWidth="1"/>
    <x:col min="4" max="5" width="17.710938" style="0" customWidth="1"/>
  </x:cols>
  <x:sheetData>
    <x:row r="1" spans="1:5" x14ac:dyDescent="0.25">
      <x:c r="A1" s="45" t="s">
        <x:v>0</x:v>
      </x:c>
      <x:c r="B1" s="45">
        <x:f>'Mass of soil'!B1</x:f>
      </x:c>
    </x:row>
    <x:row r="2" spans="1:5" ht="15.75" customHeight="1" thickBot="1" x14ac:dyDescent="0.3"/>
    <x:row r="3" spans="1:5" ht="18" customHeight="1" thickBot="1" x14ac:dyDescent="0.3">
      <x:c r="A3" s="1" t="s">
        <x:v>26</x:v>
      </x:c>
      <x:c r="B3" s="48" t="s"/>
      <x:c r="C3" s="2" t="s">
        <x:v>27</x:v>
      </x:c>
      <x:c r="D3" s="0" t="s">
        <x:v>28</x:v>
      </x:c>
    </x:row>
    <x:row r="4" spans="1:5" ht="18" customHeight="1" thickBot="1" x14ac:dyDescent="0.3">
      <x:c r="A4" s="1" t="s">
        <x:v>29</x:v>
      </x:c>
      <x:c r="B4" s="49" t="s"/>
      <x:c r="C4" s="2" t="s">
        <x:v>30</x:v>
      </x:c>
      <x:c r="D4" s="0" t="s">
        <x:v>31</x:v>
      </x:c>
    </x:row>
    <x:row r="5" spans="1:5" x14ac:dyDescent="0.25">
      <x:c r="A5" s="1" t="s">
        <x:v>32</x:v>
      </x:c>
      <x:c r="B5" s="9">
        <x:f>B3-B4</x:f>
      </x:c>
      <x:c r="C5" s="2" t="s">
        <x:v>3</x:v>
      </x:c>
    </x:row>
    <x:row r="7" spans="1:5" ht="15.75" customHeight="1" thickBot="1" x14ac:dyDescent="0.3"/>
    <x:row r="8" spans="1:5" ht="15.75" customHeight="1" thickBot="1" x14ac:dyDescent="0.3">
      <x:c r="A8" s="1" t="s">
        <x:v>33</x:v>
      </x:c>
      <x:c r="B8" s="48" t="s"/>
      <x:c r="C8" s="2" t="s">
        <x:v>34</x:v>
      </x:c>
      <x:c r="D8" s="0" t="s">
        <x:v>35</x:v>
      </x:c>
    </x:row>
    <x:row r="9" spans="1:5" ht="15.75" customHeight="1" thickBot="1" x14ac:dyDescent="0.3">
      <x:c r="A9" s="12" t="s">
        <x:v>36</x:v>
      </x:c>
      <x:c r="B9" s="54">
        <x:f>B5*B8/1000</x:f>
      </x:c>
      <x:c r="C9" s="55" t="s">
        <x:v>3</x:v>
      </x:c>
    </x:row>
  </x:sheetData>
  <x:sheetProtection algorithmName="SHA-512" hashValue="pDpdbGZreT9DEmFm/Esz/sbYKr+nXMBL4OSsWonPesaTiEbG++AmJ24uizwUZGAfwZbM+g5DSd29g6p+J0Tlnw==" saltValue="GAzlWBLP9qWoMPHlI9UXgg==" spinCount="100000" sheet="1" selectLockedCells="1"/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45AF00-F2EC-4B81-8B81-420E57DCF61F}" mc:Ignorable="x14ac xr xr2 xr3">
  <x:sheetPr>
    <x:outlinePr summaryBelow="1" summaryRight="1"/>
  </x:sheetPr>
  <x:dimension ref="A1:D9"/>
  <x:sheetViews>
    <x:sheetView workbookViewId="0">
      <x:selection activeCell="B3" sqref="B3"/>
    </x:sheetView>
  </x:sheetViews>
  <x:sheetFormatPr baseColWidth="10" defaultRowHeight="15" x14ac:dyDescent="0.25"/>
  <x:cols>
    <x:col min="1" max="1" width="52.285156" style="0" customWidth="1"/>
    <x:col min="2" max="3" width="14.710938" style="0" customWidth="1"/>
    <x:col min="4" max="4" width="17.710938" style="0" customWidth="1"/>
  </x:cols>
  <x:sheetData>
    <x:row r="1" spans="1:4" x14ac:dyDescent="0.25">
      <x:c r="A1" s="45" t="s">
        <x:v>0</x:v>
      </x:c>
      <x:c r="B1" s="45">
        <x:f>'Mass of soil'!B1</x:f>
      </x:c>
    </x:row>
    <x:row r="2" spans="1:4" ht="15.75" customHeight="1" thickBot="1" x14ac:dyDescent="0.3"/>
    <x:row r="3" spans="1:4" ht="15.75" customHeight="1" thickBot="1" x14ac:dyDescent="0.3">
      <x:c r="A3" s="1" t="s">
        <x:v>37</x:v>
      </x:c>
      <x:c r="B3" s="51" t="s">
        <x:v>16</x:v>
      </x:c>
      <x:c r="C3" s="2" t="s">
        <x:v>17</x:v>
      </x:c>
    </x:row>
    <x:row r="5" spans="1:4" s="3" customFormat="1" x14ac:dyDescent="0.25">
      <x:c r="A5" s="42" t="s">
        <x:v>38</x:v>
      </x:c>
      <x:c r="B5" s="42" t="s"/>
      <x:c r="C5" s="42" t="s"/>
    </x:row>
    <x:row r="6" spans="1:4" ht="15.75" customHeight="1" thickBot="1" x14ac:dyDescent="0.3"/>
    <x:row r="7" spans="1:4" ht="15.75" customHeight="1" thickBot="1" x14ac:dyDescent="0.3">
      <x:c r="A7" s="1" t="s">
        <x:v>39</x:v>
      </x:c>
      <x:c r="B7" s="56" t="s"/>
      <x:c r="C7" s="2" t="s">
        <x:v>3</x:v>
      </x:c>
      <x:c r="D7" s="0" t="s">
        <x:v>40</x:v>
      </x:c>
    </x:row>
    <x:row r="8" spans="1:4" ht="15.75" customHeight="1" thickBot="1" x14ac:dyDescent="0.3">
      <x:c r="A8" s="1" t="s">
        <x:v>41</x:v>
      </x:c>
      <x:c r="B8" s="52" t="s"/>
      <x:c r="C8" s="2" t="s">
        <x:v>3</x:v>
      </x:c>
      <x:c r="D8" s="0" t="s">
        <x:v>42</x:v>
      </x:c>
    </x:row>
    <x:row r="9" spans="1:4" ht="15.75" customHeight="1" thickBot="1" x14ac:dyDescent="0.3">
      <x:c r="A9" s="12" t="s">
        <x:v>43</x:v>
      </x:c>
      <x:c r="B9" s="57">
        <x:f>B7-B8</x:f>
      </x:c>
      <x:c r="C9" s="55" t="s">
        <x:v>3</x:v>
      </x:c>
    </x:row>
  </x:sheetData>
  <x:sheetProtection algorithmName="SHA-512" hashValue="qKZ+NvX1wFvfwt5hi92ogj4+cGXpKumk3vRnX+zhv4hfiMg1ogdzcrqLoLDTWYImVlwjTW32nbmxiRFMrHe11Q==" saltValue="Ru2DCWYQPJK6HV8YbuerXQ==" spinCount="100000" sheet="1" selectLockedCells="1"/>
  <x:mergeCells count="1">
    <x:mergeCell ref="A5:C5"/>
  </x:mergeCells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B9F7BC-B89A-40A5-BCFE-E58665C64C1E}">
          <x14:formula1>
            <xm:f>Konfig!$A$1:$A$3</xm:f>
          </x14:formula1>
          <xm:sqref>B3</xm:sqref>
        </x14:dataValidation>
      </x14:dataValidations>
    </x:ext>
  </x:extLst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76DFC0-EC5D-4862-9D8E-88B0F89850FA}" mc:Ignorable="x14ac xr xr2 xr3">
  <x:sheetPr>
    <x:outlinePr summaryBelow="1" summaryRight="1"/>
  </x:sheetPr>
  <x:dimension ref="A1:L12"/>
  <x:sheetViews>
    <x:sheetView workbookViewId="0">
      <x:selection activeCell="F2" sqref="F2"/>
    </x:sheetView>
  </x:sheetViews>
  <x:sheetFormatPr baseColWidth="10" defaultRowHeight="15" x14ac:dyDescent="0.25"/>
  <x:cols>
    <x:col min="1" max="1" width="17.710938" style="0" customWidth="1"/>
    <x:col min="2" max="2" width="16.570312" style="0" bestFit="1" customWidth="1"/>
    <x:col min="3" max="3" width="9.285156" style="0" bestFit="1" customWidth="1"/>
    <x:col min="4" max="4" width="9.570312" style="0" bestFit="1" customWidth="1"/>
    <x:col min="5" max="9" width="17.710938" style="0" customWidth="1"/>
    <x:col min="10" max="10" width="18" style="0" customWidth="1"/>
  </x:cols>
  <x:sheetData>
    <x:row r="1" spans="1:12" ht="60" customHeight="1" thickBot="1" x14ac:dyDescent="0.3">
      <x:c r="A1" s="58" t="s">
        <x:v>0</x:v>
      </x:c>
      <x:c r="B1" s="59" t="s">
        <x:v>44</x:v>
      </x:c>
      <x:c r="C1" s="59" t="s">
        <x:v>45</x:v>
      </x:c>
      <x:c r="D1" s="59" t="s">
        <x:v>46</x:v>
      </x:c>
      <x:c r="E1" s="25" t="s">
        <x:v>47</x:v>
      </x:c>
      <x:c r="F1" s="26" t="s">
        <x:v>48</x:v>
      </x:c>
      <x:c r="G1" s="14" t="s">
        <x:v>49</x:v>
      </x:c>
      <x:c r="H1" s="15" t="s">
        <x:v>50</x:v>
      </x:c>
      <x:c r="I1" s="39" t="s">
        <x:v>51</x:v>
      </x:c>
      <x:c r="J1" s="60" t="s">
        <x:v>52</x:v>
      </x:c>
    </x:row>
    <x:row r="2" spans="1:12" ht="30" customHeight="1" thickBot="1" x14ac:dyDescent="0.3">
      <x:c r="A2" s="58">
        <x:f>'Mass of soil'!$B$1</x:f>
      </x:c>
      <x:c r="B2" s="61" t="s">
        <x:v>53</x:v>
      </x:c>
      <x:c r="C2" s="62" t="n">
        <x:v>630</x:v>
      </x:c>
      <x:c r="D2" s="63" t="n">
        <x:v>2000</x:v>
      </x:c>
      <x:c r="E2" s="64" t="s"/>
      <x:c r="F2" s="65" t="s"/>
      <x:c r="G2" s="31">
        <x:f>E2-F2</x:f>
      </x:c>
      <x:c r="H2" s="16">
        <x:f>'Mass of soil'!$B$19</x:f>
      </x:c>
      <x:c r="I2" s="32">
        <x:f>(G2/H2)</x:f>
      </x:c>
      <x:c r="J2" s="66">
        <x:f>I2</x:f>
      </x:c>
      <x:c r="L2" s="0" t="s">
        <x:v>54</x:v>
      </x:c>
    </x:row>
    <x:row r="3" spans="1:12" ht="30" customHeight="1" thickBot="1" x14ac:dyDescent="0.3">
      <x:c r="A3" s="58" t="s"/>
      <x:c r="B3" s="65" t="s">
        <x:v>55</x:v>
      </x:c>
      <x:c r="C3" s="62" t="n">
        <x:v>200</x:v>
      </x:c>
      <x:c r="D3" s="35">
        <x:f>C2</x:f>
      </x:c>
      <x:c r="E3" s="65" t="s"/>
      <x:c r="F3" s="65" t="s"/>
      <x:c r="G3" s="31">
        <x:f>E3-F3</x:f>
      </x:c>
      <x:c r="H3" s="16">
        <x:f>'Mass of soil'!$B$19</x:f>
      </x:c>
      <x:c r="I3" s="32">
        <x:f>(G3/H3)</x:f>
      </x:c>
      <x:c r="J3" s="66">
        <x:f>I3</x:f>
      </x:c>
      <x:c r="L3" s="0" t="s">
        <x:v>56</x:v>
      </x:c>
    </x:row>
    <x:row r="4" spans="1:12" ht="30" customHeight="1" thickBot="1" x14ac:dyDescent="0.3">
      <x:c r="A4" s="67" t="s"/>
      <x:c r="B4" s="68" t="s">
        <x:v>57</x:v>
      </x:c>
      <x:c r="C4" s="62" t="n">
        <x:v>63</x:v>
      </x:c>
      <x:c r="D4" s="37">
        <x:f>C3</x:f>
      </x:c>
      <x:c r="E4" s="65" t="s"/>
      <x:c r="F4" s="65" t="s"/>
      <x:c r="G4" s="31">
        <x:f>E4-F4</x:f>
      </x:c>
      <x:c r="H4" s="16">
        <x:f>'Mass of soil'!$B$19</x:f>
      </x:c>
      <x:c r="I4" s="32">
        <x:f>(G4/H4)</x:f>
      </x:c>
      <x:c r="J4" s="66">
        <x:f>I4</x:f>
      </x:c>
      <x:c r="L4" s="0" t="s">
        <x:v>58</x:v>
      </x:c>
    </x:row>
    <x:row r="5" spans="1:12" ht="15.75" customHeight="1" thickBot="1" x14ac:dyDescent="0.3">
      <x:c r="A5" s="67" t="s"/>
      <x:c r="B5" s="68" t="s"/>
      <x:c r="C5" s="62" t="s"/>
      <x:c r="D5" s="37">
        <x:f>C4</x:f>
      </x:c>
      <x:c r="E5" s="65" t="s"/>
      <x:c r="F5" s="65" t="s"/>
      <x:c r="G5" s="31">
        <x:f>E5-F5</x:f>
      </x:c>
      <x:c r="H5" s="16">
        <x:f>'Mass of soil'!$B$19</x:f>
      </x:c>
      <x:c r="I5" s="32">
        <x:f>(G5/H5)</x:f>
      </x:c>
      <x:c r="J5" s="66">
        <x:f>I5</x:f>
      </x:c>
    </x:row>
    <x:row r="6" spans="1:12" ht="15.75" customHeight="1" thickBot="1" x14ac:dyDescent="0.3">
      <x:c r="A6" s="67" t="s"/>
      <x:c r="B6" s="68" t="s"/>
      <x:c r="C6" s="62" t="s"/>
      <x:c r="D6" s="37">
        <x:f>C5</x:f>
      </x:c>
      <x:c r="E6" s="65" t="s"/>
      <x:c r="F6" s="65" t="s"/>
      <x:c r="G6" s="31">
        <x:f>E6-F6</x:f>
      </x:c>
      <x:c r="H6" s="16">
        <x:f>'Mass of soil'!$B$19</x:f>
      </x:c>
      <x:c r="I6" s="32">
        <x:f>(G6/H6)</x:f>
      </x:c>
      <x:c r="J6" s="66">
        <x:f>I6</x:f>
      </x:c>
    </x:row>
    <x:row r="7" spans="1:12" ht="15.75" customHeight="1" thickBot="1" x14ac:dyDescent="0.3">
      <x:c r="A7" s="67" t="s"/>
      <x:c r="B7" s="68" t="s"/>
      <x:c r="C7" s="62" t="s"/>
      <x:c r="D7" s="37">
        <x:f>C6</x:f>
      </x:c>
      <x:c r="E7" s="65" t="s"/>
      <x:c r="F7" s="65" t="s"/>
      <x:c r="G7" s="31">
        <x:f>E7-F7</x:f>
      </x:c>
      <x:c r="H7" s="16">
        <x:f>'Mass of soil'!$B$19</x:f>
      </x:c>
      <x:c r="I7" s="32">
        <x:f>(G7/H7)</x:f>
      </x:c>
      <x:c r="J7" s="66">
        <x:f>I7</x:f>
      </x:c>
    </x:row>
    <x:row r="8" spans="1:12" ht="15.75" customHeight="1" thickBot="1" x14ac:dyDescent="0.3">
      <x:c r="A8" s="67" t="s"/>
      <x:c r="B8" s="68" t="s"/>
      <x:c r="C8" s="62" t="s"/>
      <x:c r="D8" s="37">
        <x:f>C7</x:f>
      </x:c>
      <x:c r="E8" s="65" t="s"/>
      <x:c r="F8" s="65" t="s"/>
      <x:c r="G8" s="31">
        <x:f>E8-F8</x:f>
      </x:c>
      <x:c r="H8" s="16">
        <x:f>'Mass of soil'!$B$19</x:f>
      </x:c>
      <x:c r="I8" s="32">
        <x:f>(G8/H8)</x:f>
      </x:c>
      <x:c r="J8" s="66">
        <x:f>I8</x:f>
      </x:c>
    </x:row>
    <x:row r="9" spans="1:12" ht="15.75" customHeight="1" thickBot="1" x14ac:dyDescent="0.3">
      <x:c r="A9" s="67" t="s"/>
      <x:c r="B9" s="68" t="s"/>
      <x:c r="C9" s="62" t="s"/>
      <x:c r="D9" s="37">
        <x:f>C8</x:f>
      </x:c>
      <x:c r="E9" s="65" t="s"/>
      <x:c r="F9" s="65" t="s"/>
      <x:c r="G9" s="31">
        <x:f>E9-F9</x:f>
      </x:c>
      <x:c r="H9" s="16">
        <x:f>'Mass of soil'!$B$19</x:f>
      </x:c>
      <x:c r="I9" s="32">
        <x:f>(G9/H9)</x:f>
      </x:c>
      <x:c r="J9" s="66">
        <x:f>I9</x:f>
      </x:c>
    </x:row>
    <x:row r="10" spans="1:12" ht="15.75" customHeight="1" thickBot="1" x14ac:dyDescent="0.3">
      <x:c r="A10" s="67" t="s"/>
      <x:c r="B10" s="68" t="s"/>
      <x:c r="C10" s="62" t="s"/>
      <x:c r="D10" s="37">
        <x:f>C9</x:f>
      </x:c>
      <x:c r="E10" s="65" t="s"/>
      <x:c r="F10" s="65" t="s"/>
      <x:c r="G10" s="31">
        <x:f>E10-F10</x:f>
      </x:c>
      <x:c r="H10" s="16">
        <x:f>'Mass of soil'!$B$19</x:f>
      </x:c>
      <x:c r="I10" s="32">
        <x:f>(G10/H10)</x:f>
      </x:c>
      <x:c r="J10" s="66">
        <x:f>I10</x:f>
      </x:c>
    </x:row>
    <x:row r="11" spans="1:12" ht="15.75" customHeight="1" thickBot="1" x14ac:dyDescent="0.3">
      <x:c r="A11" s="67" t="s"/>
      <x:c r="B11" s="68" t="s"/>
      <x:c r="C11" s="62" t="s"/>
      <x:c r="D11" s="37">
        <x:f>C10</x:f>
      </x:c>
      <x:c r="E11" s="65" t="s"/>
      <x:c r="F11" s="65" t="s"/>
      <x:c r="G11" s="31">
        <x:f>E11-F11</x:f>
      </x:c>
      <x:c r="H11" s="16">
        <x:f>'Mass of soil'!$B$19</x:f>
      </x:c>
      <x:c r="I11" s="32">
        <x:f>(G11/H11)</x:f>
      </x:c>
      <x:c r="J11" s="66">
        <x:f>I11</x:f>
      </x:c>
    </x:row>
    <x:row r="12" spans="1:12" ht="15.75" customHeight="1" thickBot="1" x14ac:dyDescent="0.3">
      <x:c r="A12" s="67" t="s"/>
      <x:c r="B12" s="68" t="s"/>
      <x:c r="C12" s="62" t="s"/>
      <x:c r="D12" s="37">
        <x:f>C11</x:f>
      </x:c>
      <x:c r="E12" s="65" t="s"/>
      <x:c r="F12" s="65" t="s"/>
      <x:c r="G12" s="31">
        <x:f>E12-F12</x:f>
      </x:c>
      <x:c r="H12" s="16">
        <x:f>'Mass of soil'!$B$19</x:f>
      </x:c>
      <x:c r="I12" s="32">
        <x:f>(G12/H12)</x:f>
      </x:c>
      <x:c r="J12" s="66">
        <x:f>I12</x:f>
      </x:c>
    </x:row>
  </x:sheetData>
  <x:sheetProtection algorithmName="SHA-512" hashValue="s3wsXqXel4/28QyEo/8ImmgXTsiVPMgcCRWzleIC9pE83hWz0c88JOh8T3nMgn5bPGTU6biD8D34jAngNcezBQ==" saltValue="CzJf+H7wQHx1y//z4Nv0WA==" spinCount="100000" sheet="1" selectLockedCells="1"/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96B2EB-D737-4AEB-826B-C153D898731A}" mc:Ignorable="x14ac xr xr2 xr3">
  <x:sheetPr>
    <x:outlinePr summaryBelow="1" summaryRight="1"/>
  </x:sheetPr>
  <x:dimension ref="A1:A3"/>
  <x:sheetViews>
    <x:sheetView workbookViewId="0">
      <x:selection activeCell="C12" sqref="C12"/>
    </x:sheetView>
  </x:sheetViews>
  <x:sheetFormatPr baseColWidth="10" defaultRowHeight="15" x14ac:dyDescent="0.25"/>
  <x:cols>
    <x:col min="1" max="1" width="14.570312" style="0" bestFit="1" customWidth="1"/>
  </x:cols>
  <x:sheetData>
    <x:row r="1" spans="1:3" x14ac:dyDescent="0.25">
      <x:c r="A1" s="0" t="s">
        <x:v>16</x:v>
      </x:c>
    </x:row>
    <x:row r="2" spans="1:3" x14ac:dyDescent="0.25">
      <x:c r="A2" s="0" t="s">
        <x:v>59</x:v>
      </x:c>
    </x:row>
    <x:row r="3" spans="1:3" x14ac:dyDescent="0.25">
      <x:c r="A3" s="0" t="s">
        <x:v>60</x:v>
      </x:c>
    </x:row>
  </x:sheetData>
  <x:sheetProtection algorithmName="SHA-512" hashValue="GllFsY4Geaxjof99RsJhRMY5ugq0vkOf2W/8zTtU2ZOxTTjCudrO7qTX/NtVVM5misgPfDuFC+JXb3E+WINJZw==" saltValue="oNS9IcLAJuYSIGQ9sOzQ5g==" spinCount="100000" sheet="1" objects="1" selectLockedCells="1" selectUnlockedCells="1"/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Mass of soil</vt:lpstr>
      <vt:lpstr>Mass of dispersant</vt:lpstr>
      <vt:lpstr>Dry Mass in effluent</vt:lpstr>
      <vt:lpstr>Sieve Data</vt:lpstr>
      <vt:lpstr>Konfig</vt:lpstr>
      <vt:lpstr>Mass of soil!Print_Area</vt:lpstr>
      <vt:lpstr>Mass of soil!Print_Titles</vt:lpstr>
      <vt:lpstr>Mass of dispersant!Print_Area</vt:lpstr>
      <vt:lpstr>Mass of dispersant!Print_Titles</vt:lpstr>
      <vt:lpstr>Dry Mass in effluent!Print_Area</vt:lpstr>
      <vt:lpstr>Dry Mass in effluent!Print_Titles</vt:lpstr>
      <vt:lpstr>Sieve Data!Print_Area</vt:lpstr>
      <vt:lpstr>Sieve Data!Print_Titles</vt:lpstr>
      <vt:lpstr>Konfig!Print_Area</vt:lpstr>
      <vt:lpstr>Konfig!Print_Titles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Alina Miller</dc:creator>
  <lastModifiedBy>Karin Weixler</lastModifiedBy>
  <dcterms:created xsi:type="dcterms:W3CDTF">2020-08-04T10:58:35.0000000Z</dcterms:created>
  <dcterms:modified xsi:type="dcterms:W3CDTF">2024-04-08T08:40:05.0000000Z</dcterms:modified>
</coreProperties>
</file>